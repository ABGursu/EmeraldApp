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Gursu\Documents\"/>
    </mc:Choice>
  </mc:AlternateContent>
  <xr:revisionPtr revIDLastSave="0" documentId="13_ncr:1_{5E24819F-E0F5-45AE-9CBF-10E47F6860BD}" xr6:coauthVersionLast="47" xr6:coauthVersionMax="47" xr10:uidLastSave="{00000000-0000-0000-0000-000000000000}"/>
  <bookViews>
    <workbookView xWindow="-108" yWindow="-108" windowWidth="23256" windowHeight="13896" activeTab="1" xr2:uid="{EB367DCA-10B5-4B6A-8CF3-DF9C71C697C1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2" i="2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2" i="1"/>
  <c r="V7" i="1"/>
  <c r="V8" i="1"/>
  <c r="V6" i="1"/>
  <c r="V5" i="1"/>
  <c r="V4" i="1"/>
  <c r="V3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</calcChain>
</file>

<file path=xl/sharedStrings.xml><?xml version="1.0" encoding="utf-8"?>
<sst xmlns="http://schemas.openxmlformats.org/spreadsheetml/2006/main" count="280" uniqueCount="102">
  <si>
    <t>MultiVitamin</t>
  </si>
  <si>
    <t>Omega 3</t>
  </si>
  <si>
    <t>Vitamin D3</t>
  </si>
  <si>
    <t>Milk Thistle</t>
  </si>
  <si>
    <t>Rhodiola Rosea</t>
  </si>
  <si>
    <t>Thermo Burner</t>
  </si>
  <si>
    <t>Reishi Ginseng</t>
  </si>
  <si>
    <t>T-Prime</t>
  </si>
  <si>
    <t>L-Theanine</t>
  </si>
  <si>
    <t>B12</t>
  </si>
  <si>
    <t>Beypazarı</t>
  </si>
  <si>
    <t>Coenzime Q10</t>
  </si>
  <si>
    <t>Total</t>
  </si>
  <si>
    <t>Mumiyo Glukozamine</t>
  </si>
  <si>
    <t>Ester-C</t>
  </si>
  <si>
    <t>Magnimore</t>
  </si>
  <si>
    <t>L-Tyrosine</t>
  </si>
  <si>
    <t>Relax</t>
  </si>
  <si>
    <t>A (mcg)</t>
  </si>
  <si>
    <t>B1(mg)</t>
  </si>
  <si>
    <t>B12(mcg)</t>
  </si>
  <si>
    <t>B2(mg)</t>
  </si>
  <si>
    <t>B3(mg)</t>
  </si>
  <si>
    <t>B5(mg)</t>
  </si>
  <si>
    <t>B6(mg)</t>
  </si>
  <si>
    <t>B4(mg)</t>
  </si>
  <si>
    <t>C(mg)</t>
  </si>
  <si>
    <t>D3(mcg)</t>
  </si>
  <si>
    <t>E(mg)</t>
  </si>
  <si>
    <t>K(mcg)</t>
  </si>
  <si>
    <t>Calsium(mg)</t>
  </si>
  <si>
    <t>K2(mcg)</t>
  </si>
  <si>
    <t>Magnesium(mg)</t>
  </si>
  <si>
    <t>Iron(mg)</t>
  </si>
  <si>
    <t>Zinc(mg)</t>
  </si>
  <si>
    <t>Manganese(mg)</t>
  </si>
  <si>
    <t>B11(mg)</t>
  </si>
  <si>
    <t>B10(mg)</t>
  </si>
  <si>
    <t>B9(mg)</t>
  </si>
  <si>
    <t>B8(mg)</t>
  </si>
  <si>
    <t>B7(mg)</t>
  </si>
  <si>
    <t>Chromium(mcg)</t>
  </si>
  <si>
    <t>Copper(mg)</t>
  </si>
  <si>
    <t>Collagen</t>
  </si>
  <si>
    <t>Iodine(mcg)</t>
  </si>
  <si>
    <t>Selenium(mcg)</t>
  </si>
  <si>
    <t>Molibden(mcg)</t>
  </si>
  <si>
    <t>Sodium(mg)</t>
  </si>
  <si>
    <t>Potasium(mg)</t>
  </si>
  <si>
    <t>Bicarbonate(mg)</t>
  </si>
  <si>
    <t>Sulfate(mg)</t>
  </si>
  <si>
    <t>Floride(mg)</t>
  </si>
  <si>
    <t>Chloride(mg)</t>
  </si>
  <si>
    <t>Silicate(mg)</t>
  </si>
  <si>
    <t>Taurine(mg)</t>
  </si>
  <si>
    <t>Inositol(mg)</t>
  </si>
  <si>
    <t>Coenzime Q10(mg)</t>
  </si>
  <si>
    <t>Rutin(mg)</t>
  </si>
  <si>
    <t>L-Theanine(mg)</t>
  </si>
  <si>
    <t>L-Throsine(mg)</t>
  </si>
  <si>
    <t>Folic Acid(mg)</t>
  </si>
  <si>
    <t>5-HTP(mg)</t>
  </si>
  <si>
    <t>Urtica Dioica Extract(mg)</t>
  </si>
  <si>
    <t>Çemen Extract(mg)</t>
  </si>
  <si>
    <t>Tribulus Terrestris Extract(mg)</t>
  </si>
  <si>
    <t>Korean Ginseng(mg)</t>
  </si>
  <si>
    <t>Reishi Mushroom(mg)</t>
  </si>
  <si>
    <t>Shilajit (Mumiyo)(mg)</t>
  </si>
  <si>
    <t>Malpighia Glabra Extract(mg)</t>
  </si>
  <si>
    <t>Rosa Canina Extract(mg)</t>
  </si>
  <si>
    <t>Black Pepper Extract(mg)</t>
  </si>
  <si>
    <t>CLA(mg)</t>
  </si>
  <si>
    <t>Caffeine(mg)</t>
  </si>
  <si>
    <t>Green Tea Extract(mg)</t>
  </si>
  <si>
    <t>Turunç Extract(mg)</t>
  </si>
  <si>
    <t>Milk Thistle Extract(mg)</t>
  </si>
  <si>
    <t>Rhodiola Extract(mg)</t>
  </si>
  <si>
    <t>DHA(mg)</t>
  </si>
  <si>
    <t>EPA(mg)</t>
  </si>
  <si>
    <t>Omega 3(mg)</t>
  </si>
  <si>
    <t>Fish Oil(mg)</t>
  </si>
  <si>
    <t>Hyaluronic Acid(mg)</t>
  </si>
  <si>
    <t>Biotine(mcg)</t>
  </si>
  <si>
    <t>Lutein(mg)</t>
  </si>
  <si>
    <t>Likopen(mcg)</t>
  </si>
  <si>
    <t>Alpha GPC(mg)</t>
  </si>
  <si>
    <t>Choline(mg)</t>
  </si>
  <si>
    <t>Mumiyo Glukozamin</t>
  </si>
  <si>
    <t>Type 2 Collagen</t>
  </si>
  <si>
    <t>Type 1-3 Collagen</t>
  </si>
  <si>
    <t>Chondroitin Sulfate</t>
  </si>
  <si>
    <t>Methylsulfonylmethane</t>
  </si>
  <si>
    <t>Boswellia Extract</t>
  </si>
  <si>
    <t>Glucosamine Sulfate</t>
  </si>
  <si>
    <t>Abelmoschus Extract</t>
  </si>
  <si>
    <t>Type 1-3 Collagen(mg)</t>
  </si>
  <si>
    <t>Type 2 Collagen(mg)</t>
  </si>
  <si>
    <t>Boswellia Extract(mg)</t>
  </si>
  <si>
    <t>Glucosamine Sulfate(mg)</t>
  </si>
  <si>
    <t>Methylsulfonylmethane(mg)</t>
  </si>
  <si>
    <t>Chondroitin Sulfate(mg)</t>
  </si>
  <si>
    <t>Abelmoschus Extract(mg)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</si>
</sst>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065A-9709-4444-BDCC-94EE88FBB8E8}">
  <dimension ref="A1:V76"/>
  <sheetViews>
    <sheetView topLeftCell="F1" workbookViewId="0">
      <selection activeCell="U2" sqref="U2"/>
    </sheetView>
  </sheetViews>
  <sheetFormatPr defaultRowHeight="14.4" x14ac:dyDescent="0.3"/>
  <cols>
    <col min="1" max="1" width="26.21875" customWidth="1"/>
    <col min="2" max="2" width="12.88671875" customWidth="1"/>
    <col min="4" max="4" width="10.5546875" customWidth="1"/>
    <col min="5" max="5" width="11.33203125" customWidth="1"/>
    <col min="6" max="6" width="14.44140625" customWidth="1"/>
    <col min="7" max="8" width="13" customWidth="1"/>
    <col min="10" max="10" width="10.109375" customWidth="1"/>
    <col min="11" max="11" width="10.44140625" customWidth="1"/>
    <col min="12" max="12" width="10.21875" customWidth="1"/>
    <col min="13" max="13" width="17.5546875" customWidth="1"/>
    <col min="15" max="15" width="10.5546875" customWidth="1"/>
    <col min="16" max="16" width="12.44140625" customWidth="1"/>
    <col min="21" max="21" width="24.77734375" customWidth="1"/>
  </cols>
  <sheetData>
    <row r="1" spans="1:2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16</v>
      </c>
      <c r="K1" t="s">
        <v>8</v>
      </c>
      <c r="L1" t="s">
        <v>10</v>
      </c>
      <c r="M1" t="s">
        <v>13</v>
      </c>
      <c r="N1" t="s">
        <v>14</v>
      </c>
      <c r="O1" t="s">
        <v>15</v>
      </c>
      <c r="P1" t="s">
        <v>11</v>
      </c>
      <c r="Q1" t="s">
        <v>9</v>
      </c>
      <c r="R1" t="s">
        <v>17</v>
      </c>
      <c r="S1" t="s">
        <v>43</v>
      </c>
      <c r="V1" t="s">
        <v>12</v>
      </c>
    </row>
    <row r="2" spans="1:22" x14ac:dyDescent="0.3">
      <c r="A2" t="s">
        <v>18</v>
      </c>
      <c r="B2" s="1">
        <v>1000</v>
      </c>
      <c r="C2" s="1"/>
      <c r="D2" s="1"/>
      <c r="E2" s="1"/>
      <c r="F2" s="1"/>
      <c r="G2" s="1"/>
      <c r="H2" s="1">
        <v>800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U2" t="s">
        <v>18</v>
      </c>
      <c r="V2" s="2">
        <f t="shared" ref="V2:V33" si="0">SUM(B2:S2)</f>
        <v>1800</v>
      </c>
    </row>
    <row r="3" spans="1:22" x14ac:dyDescent="0.3">
      <c r="A3" t="s">
        <v>19</v>
      </c>
      <c r="B3" s="1">
        <v>4</v>
      </c>
      <c r="C3" s="1"/>
      <c r="D3" s="1"/>
      <c r="E3" s="1"/>
      <c r="F3" s="1"/>
      <c r="G3" s="1"/>
      <c r="H3" s="1">
        <v>1.1000000000000001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U3" t="s">
        <v>19</v>
      </c>
      <c r="V3" s="2">
        <f t="shared" si="0"/>
        <v>5.0999999999999996</v>
      </c>
    </row>
    <row r="4" spans="1:22" x14ac:dyDescent="0.3">
      <c r="A4" t="s">
        <v>21</v>
      </c>
      <c r="B4" s="1">
        <v>3</v>
      </c>
      <c r="C4" s="1"/>
      <c r="D4" s="1"/>
      <c r="E4" s="1"/>
      <c r="F4" s="1"/>
      <c r="G4" s="1"/>
      <c r="H4" s="1">
        <v>1.4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U4" t="s">
        <v>21</v>
      </c>
      <c r="V4" s="2">
        <f t="shared" si="0"/>
        <v>4.4000000000000004</v>
      </c>
    </row>
    <row r="5" spans="1:22" x14ac:dyDescent="0.3">
      <c r="A5" t="s">
        <v>22</v>
      </c>
      <c r="B5" s="1">
        <v>20</v>
      </c>
      <c r="C5" s="1"/>
      <c r="D5" s="1"/>
      <c r="E5" s="1"/>
      <c r="F5" s="1"/>
      <c r="G5" s="1"/>
      <c r="H5" s="1">
        <v>16</v>
      </c>
      <c r="I5" s="1"/>
      <c r="J5" s="1"/>
      <c r="K5" s="1"/>
      <c r="L5" s="1"/>
      <c r="M5" s="1"/>
      <c r="N5" s="1"/>
      <c r="O5" s="1"/>
      <c r="P5" s="1"/>
      <c r="Q5" s="1"/>
      <c r="R5" s="1">
        <v>20</v>
      </c>
      <c r="S5" s="1"/>
      <c r="U5" t="s">
        <v>22</v>
      </c>
      <c r="V5" s="2">
        <f t="shared" si="0"/>
        <v>56</v>
      </c>
    </row>
    <row r="6" spans="1:22" x14ac:dyDescent="0.3">
      <c r="A6" t="s">
        <v>25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U6" t="s">
        <v>25</v>
      </c>
      <c r="V6" s="2">
        <f t="shared" si="0"/>
        <v>0</v>
      </c>
    </row>
    <row r="7" spans="1:22" x14ac:dyDescent="0.3">
      <c r="A7" t="s">
        <v>23</v>
      </c>
      <c r="B7" s="1">
        <v>10</v>
      </c>
      <c r="C7" s="1"/>
      <c r="D7" s="1"/>
      <c r="E7" s="1"/>
      <c r="F7" s="1"/>
      <c r="G7" s="1"/>
      <c r="H7" s="1">
        <v>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U7" t="s">
        <v>23</v>
      </c>
      <c r="V7" s="2">
        <f t="shared" si="0"/>
        <v>16</v>
      </c>
    </row>
    <row r="8" spans="1:22" x14ac:dyDescent="0.3">
      <c r="A8" t="s">
        <v>24</v>
      </c>
      <c r="B8" s="1">
        <v>4</v>
      </c>
      <c r="C8" s="1"/>
      <c r="D8" s="1"/>
      <c r="E8" s="1"/>
      <c r="F8" s="1"/>
      <c r="G8" s="1"/>
      <c r="H8" s="1">
        <v>2</v>
      </c>
      <c r="I8" s="1">
        <v>10</v>
      </c>
      <c r="J8" s="1"/>
      <c r="K8" s="1"/>
      <c r="L8" s="1"/>
      <c r="M8" s="1"/>
      <c r="N8" s="1"/>
      <c r="O8" s="1"/>
      <c r="P8" s="1"/>
      <c r="Q8" s="1"/>
      <c r="R8" s="1">
        <v>10</v>
      </c>
      <c r="S8" s="1"/>
      <c r="U8" t="s">
        <v>24</v>
      </c>
      <c r="V8" s="2">
        <f t="shared" si="0"/>
        <v>26</v>
      </c>
    </row>
    <row r="9" spans="1:22" x14ac:dyDescent="0.3">
      <c r="A9" t="s">
        <v>40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U9" t="s">
        <v>40</v>
      </c>
      <c r="V9" s="2">
        <f t="shared" si="0"/>
        <v>0</v>
      </c>
    </row>
    <row r="10" spans="1:22" x14ac:dyDescent="0.3">
      <c r="A10" t="s">
        <v>39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U10" t="s">
        <v>39</v>
      </c>
      <c r="V10" s="2">
        <f t="shared" si="0"/>
        <v>0</v>
      </c>
    </row>
    <row r="11" spans="1:22" x14ac:dyDescent="0.3">
      <c r="A11" t="s">
        <v>38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U11" t="s">
        <v>38</v>
      </c>
      <c r="V11" s="2">
        <f t="shared" si="0"/>
        <v>0</v>
      </c>
    </row>
    <row r="12" spans="1:22" x14ac:dyDescent="0.3">
      <c r="A12" t="s">
        <v>37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U12" t="s">
        <v>37</v>
      </c>
      <c r="V12" s="2">
        <f t="shared" si="0"/>
        <v>0</v>
      </c>
    </row>
    <row r="13" spans="1:22" x14ac:dyDescent="0.3">
      <c r="A13" t="s">
        <v>36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U13" t="s">
        <v>36</v>
      </c>
      <c r="V13" s="2">
        <f t="shared" si="0"/>
        <v>0</v>
      </c>
    </row>
    <row r="14" spans="1:22" x14ac:dyDescent="0.3">
      <c r="A14" t="s">
        <v>20</v>
      </c>
      <c r="B14" s="1">
        <v>5</v>
      </c>
      <c r="C14" s="1"/>
      <c r="D14" s="1"/>
      <c r="E14" s="1"/>
      <c r="F14" s="1"/>
      <c r="G14" s="1">
        <v>500</v>
      </c>
      <c r="H14" s="1">
        <v>2.5</v>
      </c>
      <c r="I14" s="1"/>
      <c r="J14" s="1"/>
      <c r="K14" s="1"/>
      <c r="L14" s="1"/>
      <c r="M14" s="1"/>
      <c r="N14" s="1"/>
      <c r="O14" s="1"/>
      <c r="P14" s="1"/>
      <c r="Q14" s="1">
        <v>1000</v>
      </c>
      <c r="R14" s="1">
        <v>400</v>
      </c>
      <c r="S14" s="1"/>
      <c r="U14" t="s">
        <v>20</v>
      </c>
      <c r="V14" s="2">
        <f t="shared" si="0"/>
        <v>1907.5</v>
      </c>
    </row>
    <row r="15" spans="1:22" x14ac:dyDescent="0.3">
      <c r="A15" t="s">
        <v>26</v>
      </c>
      <c r="B15" s="1">
        <v>80</v>
      </c>
      <c r="C15" s="1"/>
      <c r="D15" s="1"/>
      <c r="E15" s="1"/>
      <c r="F15" s="1"/>
      <c r="G15" s="1"/>
      <c r="H15" s="1">
        <v>80</v>
      </c>
      <c r="I15" s="1"/>
      <c r="J15" s="1"/>
      <c r="K15" s="1"/>
      <c r="L15" s="1"/>
      <c r="M15" s="1"/>
      <c r="N15" s="1">
        <v>1000</v>
      </c>
      <c r="O15" s="1"/>
      <c r="P15" s="1"/>
      <c r="Q15" s="1"/>
      <c r="R15" s="1">
        <v>100</v>
      </c>
      <c r="S15" s="1"/>
      <c r="U15" t="s">
        <v>26</v>
      </c>
      <c r="V15" s="2">
        <f t="shared" si="0"/>
        <v>1260</v>
      </c>
    </row>
    <row r="16" spans="1:22" x14ac:dyDescent="0.3">
      <c r="A16" t="s">
        <v>27</v>
      </c>
      <c r="B16" s="1">
        <v>25</v>
      </c>
      <c r="C16" s="1"/>
      <c r="D16" s="1">
        <v>25</v>
      </c>
      <c r="E16" s="1"/>
      <c r="F16" s="1"/>
      <c r="G16" s="1"/>
      <c r="H16" s="1">
        <v>5</v>
      </c>
      <c r="I16" s="1">
        <v>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U16" t="s">
        <v>27</v>
      </c>
      <c r="V16" s="2">
        <f t="shared" si="0"/>
        <v>80</v>
      </c>
    </row>
    <row r="17" spans="1:22" x14ac:dyDescent="0.3">
      <c r="A17" t="s">
        <v>28</v>
      </c>
      <c r="B17" s="1">
        <v>20</v>
      </c>
      <c r="C17" s="1"/>
      <c r="D17" s="1"/>
      <c r="E17" s="1"/>
      <c r="F17" s="1"/>
      <c r="G17" s="1"/>
      <c r="H17" s="1">
        <v>12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U17" t="s">
        <v>28</v>
      </c>
      <c r="V17" s="2">
        <f t="shared" si="0"/>
        <v>32</v>
      </c>
    </row>
    <row r="18" spans="1:22" x14ac:dyDescent="0.3">
      <c r="A18" t="s">
        <v>29</v>
      </c>
      <c r="B18" s="1">
        <v>120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U18" t="s">
        <v>29</v>
      </c>
      <c r="V18" s="2">
        <f t="shared" si="0"/>
        <v>120</v>
      </c>
    </row>
    <row r="19" spans="1:22" x14ac:dyDescent="0.3">
      <c r="A19" t="s">
        <v>31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U19" t="s">
        <v>31</v>
      </c>
      <c r="V19" s="2">
        <f t="shared" si="0"/>
        <v>0</v>
      </c>
    </row>
    <row r="20" spans="1:2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2">
        <f t="shared" si="0"/>
        <v>0</v>
      </c>
    </row>
    <row r="21" spans="1:22" x14ac:dyDescent="0.3">
      <c r="A21" t="s">
        <v>30</v>
      </c>
      <c r="B21" s="1">
        <v>150</v>
      </c>
      <c r="C21" s="1"/>
      <c r="D21" s="1"/>
      <c r="E21" s="1"/>
      <c r="F21" s="1"/>
      <c r="G21" s="1"/>
      <c r="H21" s="1"/>
      <c r="I21" s="1"/>
      <c r="J21" s="1"/>
      <c r="K21" s="1"/>
      <c r="L21" s="1">
        <v>51</v>
      </c>
      <c r="M21" s="1"/>
      <c r="N21" s="1"/>
      <c r="O21" s="1"/>
      <c r="P21" s="1"/>
      <c r="Q21" s="1"/>
      <c r="R21" s="1"/>
      <c r="S21" s="1"/>
      <c r="U21" t="s">
        <v>30</v>
      </c>
      <c r="V21" s="2">
        <f t="shared" si="0"/>
        <v>201</v>
      </c>
    </row>
    <row r="22" spans="1:22" x14ac:dyDescent="0.3">
      <c r="A22" t="s">
        <v>32</v>
      </c>
      <c r="B22" s="1">
        <v>75</v>
      </c>
      <c r="C22" s="1"/>
      <c r="D22" s="1"/>
      <c r="E22" s="1"/>
      <c r="F22" s="1"/>
      <c r="G22" s="1"/>
      <c r="H22" s="1"/>
      <c r="I22" s="1">
        <v>250</v>
      </c>
      <c r="J22" s="1"/>
      <c r="K22" s="1"/>
      <c r="L22" s="1">
        <v>25</v>
      </c>
      <c r="M22" s="1"/>
      <c r="N22" s="1"/>
      <c r="O22" s="1">
        <v>105</v>
      </c>
      <c r="P22" s="1"/>
      <c r="Q22" s="1"/>
      <c r="R22" s="1">
        <v>150</v>
      </c>
      <c r="S22" s="1"/>
      <c r="U22" t="s">
        <v>32</v>
      </c>
      <c r="V22" s="2">
        <f t="shared" si="0"/>
        <v>605</v>
      </c>
    </row>
    <row r="23" spans="1:22" x14ac:dyDescent="0.3">
      <c r="A23" t="s">
        <v>33</v>
      </c>
      <c r="B23" s="1">
        <v>16</v>
      </c>
      <c r="C23" s="1"/>
      <c r="D23" s="1"/>
      <c r="E23" s="1"/>
      <c r="F23" s="1"/>
      <c r="G23" s="1"/>
      <c r="H23" s="1">
        <v>5</v>
      </c>
      <c r="I23" s="1"/>
      <c r="J23" s="1"/>
      <c r="K23" s="1"/>
      <c r="L23" s="1">
        <v>1.4999999999999999E-4</v>
      </c>
      <c r="M23" s="1"/>
      <c r="N23" s="1"/>
      <c r="O23" s="1"/>
      <c r="P23" s="1"/>
      <c r="Q23" s="1"/>
      <c r="R23" s="1"/>
      <c r="S23" s="1"/>
      <c r="U23" t="s">
        <v>33</v>
      </c>
      <c r="V23" s="2">
        <f t="shared" si="0"/>
        <v>21.000150000000001</v>
      </c>
    </row>
    <row r="24" spans="1:22" x14ac:dyDescent="0.3">
      <c r="A24" t="s">
        <v>34</v>
      </c>
      <c r="B24" s="1">
        <v>10</v>
      </c>
      <c r="C24" s="1"/>
      <c r="D24" s="1"/>
      <c r="E24" s="1"/>
      <c r="F24" s="1"/>
      <c r="G24" s="1"/>
      <c r="H24" s="1">
        <v>5</v>
      </c>
      <c r="I24" s="1">
        <v>15</v>
      </c>
      <c r="J24" s="1"/>
      <c r="K24" s="1"/>
      <c r="L24" s="1"/>
      <c r="M24" s="1"/>
      <c r="N24" s="1"/>
      <c r="O24" s="1"/>
      <c r="P24" s="1"/>
      <c r="Q24" s="1"/>
      <c r="R24" s="1">
        <v>10</v>
      </c>
      <c r="S24" s="1"/>
      <c r="U24" t="s">
        <v>34</v>
      </c>
      <c r="V24" s="2">
        <f t="shared" si="0"/>
        <v>40</v>
      </c>
    </row>
    <row r="25" spans="1:22" x14ac:dyDescent="0.3">
      <c r="A25" t="s">
        <v>35</v>
      </c>
      <c r="B25" s="1"/>
      <c r="C25" s="1"/>
      <c r="D25" s="1"/>
      <c r="E25" s="1"/>
      <c r="F25" s="1"/>
      <c r="G25" s="1"/>
      <c r="H25" s="1">
        <v>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U25" t="s">
        <v>35</v>
      </c>
      <c r="V25" s="2">
        <f t="shared" si="0"/>
        <v>1</v>
      </c>
    </row>
    <row r="26" spans="1:22" x14ac:dyDescent="0.3">
      <c r="A26" t="s">
        <v>41</v>
      </c>
      <c r="B26" s="1">
        <v>200</v>
      </c>
      <c r="C26" s="1"/>
      <c r="D26" s="1"/>
      <c r="E26" s="1"/>
      <c r="F26" s="1"/>
      <c r="G26" s="1">
        <v>200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U26" t="s">
        <v>41</v>
      </c>
      <c r="V26" s="2">
        <f t="shared" si="0"/>
        <v>400</v>
      </c>
    </row>
    <row r="27" spans="1:22" x14ac:dyDescent="0.3">
      <c r="A27" t="s">
        <v>42</v>
      </c>
      <c r="B27" s="1">
        <v>1</v>
      </c>
      <c r="C27" s="1"/>
      <c r="D27" s="1"/>
      <c r="E27" s="1"/>
      <c r="F27" s="1"/>
      <c r="G27" s="1"/>
      <c r="H27" s="1">
        <v>0.5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U27" t="s">
        <v>42</v>
      </c>
      <c r="V27" s="2">
        <f t="shared" si="0"/>
        <v>1.5</v>
      </c>
    </row>
    <row r="28" spans="1:22" x14ac:dyDescent="0.3">
      <c r="A28" t="s">
        <v>44</v>
      </c>
      <c r="B28" s="1">
        <v>150</v>
      </c>
      <c r="C28" s="1"/>
      <c r="D28" s="1"/>
      <c r="E28" s="1"/>
      <c r="F28" s="1"/>
      <c r="G28" s="1"/>
      <c r="H28" s="1">
        <v>100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U28" t="s">
        <v>44</v>
      </c>
      <c r="V28" s="2">
        <f t="shared" si="0"/>
        <v>250</v>
      </c>
    </row>
    <row r="29" spans="1:22" x14ac:dyDescent="0.3">
      <c r="A29" t="s">
        <v>45</v>
      </c>
      <c r="B29" s="1">
        <v>70</v>
      </c>
      <c r="C29" s="1"/>
      <c r="D29" s="1"/>
      <c r="E29" s="1"/>
      <c r="F29" s="1"/>
      <c r="G29" s="1"/>
      <c r="H29" s="1">
        <v>50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U29" t="s">
        <v>45</v>
      </c>
      <c r="V29" s="2">
        <f t="shared" si="0"/>
        <v>120</v>
      </c>
    </row>
    <row r="30" spans="1:22" x14ac:dyDescent="0.3">
      <c r="A30" t="s">
        <v>46</v>
      </c>
      <c r="B30" s="1">
        <v>75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U30" t="s">
        <v>46</v>
      </c>
      <c r="V30" s="2">
        <f t="shared" si="0"/>
        <v>75</v>
      </c>
    </row>
    <row r="31" spans="1:22" x14ac:dyDescent="0.3">
      <c r="A31" t="s">
        <v>47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>
        <v>28</v>
      </c>
      <c r="M31" s="1"/>
      <c r="N31" s="1"/>
      <c r="O31" s="1"/>
      <c r="P31" s="1"/>
      <c r="Q31" s="1"/>
      <c r="R31" s="1"/>
      <c r="S31" s="1"/>
      <c r="U31" t="s">
        <v>47</v>
      </c>
      <c r="V31" s="2">
        <f t="shared" si="0"/>
        <v>28</v>
      </c>
    </row>
    <row r="32" spans="1:22" x14ac:dyDescent="0.3">
      <c r="A32" t="s">
        <v>48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>
        <v>5.0999999999999996</v>
      </c>
      <c r="M32" s="1"/>
      <c r="N32" s="1"/>
      <c r="O32" s="1"/>
      <c r="P32" s="1"/>
      <c r="Q32" s="1"/>
      <c r="R32" s="1"/>
      <c r="S32" s="1"/>
      <c r="U32" t="s">
        <v>48</v>
      </c>
      <c r="V32" s="2">
        <f t="shared" si="0"/>
        <v>5.0999999999999996</v>
      </c>
    </row>
    <row r="33" spans="1:22" x14ac:dyDescent="0.3">
      <c r="A33" t="s">
        <v>49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>
        <v>286</v>
      </c>
      <c r="M33" s="1"/>
      <c r="N33" s="1"/>
      <c r="O33" s="1"/>
      <c r="P33" s="1"/>
      <c r="Q33" s="1"/>
      <c r="R33" s="1"/>
      <c r="S33" s="1"/>
      <c r="U33" t="s">
        <v>49</v>
      </c>
      <c r="V33" s="2">
        <f t="shared" si="0"/>
        <v>286</v>
      </c>
    </row>
    <row r="34" spans="1:22" x14ac:dyDescent="0.3">
      <c r="A34" t="s">
        <v>50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>
        <v>35.200000000000003</v>
      </c>
      <c r="M34" s="1"/>
      <c r="N34" s="1"/>
      <c r="O34" s="1"/>
      <c r="P34" s="1"/>
      <c r="Q34" s="1"/>
      <c r="R34" s="1"/>
      <c r="S34" s="1"/>
      <c r="U34" t="s">
        <v>50</v>
      </c>
      <c r="V34" s="2">
        <f t="shared" ref="V34:V65" si="1">SUM(B34:S34)</f>
        <v>35.200000000000003</v>
      </c>
    </row>
    <row r="35" spans="1:22" x14ac:dyDescent="0.3">
      <c r="A35" t="s">
        <v>51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>
        <v>0.125</v>
      </c>
      <c r="M35" s="1"/>
      <c r="N35" s="1"/>
      <c r="O35" s="1"/>
      <c r="P35" s="1"/>
      <c r="Q35" s="1"/>
      <c r="R35" s="1"/>
      <c r="S35" s="1"/>
      <c r="U35" t="s">
        <v>51</v>
      </c>
      <c r="V35" s="2">
        <f t="shared" si="1"/>
        <v>0.125</v>
      </c>
    </row>
    <row r="36" spans="1:22" x14ac:dyDescent="0.3">
      <c r="A36" t="s">
        <v>52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>
        <v>4.3</v>
      </c>
      <c r="M36" s="1"/>
      <c r="N36" s="1"/>
      <c r="O36" s="1"/>
      <c r="P36" s="1"/>
      <c r="Q36" s="1"/>
      <c r="R36" s="1"/>
      <c r="S36" s="1"/>
      <c r="U36" t="s">
        <v>52</v>
      </c>
      <c r="V36" s="2">
        <f t="shared" si="1"/>
        <v>4.3</v>
      </c>
    </row>
    <row r="37" spans="1:22" x14ac:dyDescent="0.3">
      <c r="A37" t="s">
        <v>53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>
        <v>9.5</v>
      </c>
      <c r="M37" s="1"/>
      <c r="N37" s="1"/>
      <c r="O37" s="1"/>
      <c r="P37" s="1"/>
      <c r="Q37" s="1"/>
      <c r="R37" s="1"/>
      <c r="S37" s="1"/>
      <c r="U37" t="s">
        <v>53</v>
      </c>
      <c r="V37" s="2">
        <f t="shared" si="1"/>
        <v>9.5</v>
      </c>
    </row>
    <row r="38" spans="1:22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2">
        <f t="shared" si="1"/>
        <v>0</v>
      </c>
    </row>
    <row r="39" spans="1:22" x14ac:dyDescent="0.3">
      <c r="A39" t="s">
        <v>54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>
        <v>600</v>
      </c>
      <c r="S39" s="1"/>
      <c r="U39" t="s">
        <v>54</v>
      </c>
      <c r="V39" s="2">
        <f t="shared" si="1"/>
        <v>600</v>
      </c>
    </row>
    <row r="40" spans="1:22" x14ac:dyDescent="0.3">
      <c r="A40" t="s">
        <v>86</v>
      </c>
      <c r="B40" s="1">
        <v>10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U40" t="s">
        <v>86</v>
      </c>
      <c r="V40" s="2">
        <f t="shared" si="1"/>
        <v>10</v>
      </c>
    </row>
    <row r="41" spans="1:22" x14ac:dyDescent="0.3">
      <c r="A41" t="s">
        <v>85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U41" t="s">
        <v>85</v>
      </c>
      <c r="V41" s="2">
        <f t="shared" si="1"/>
        <v>0</v>
      </c>
    </row>
    <row r="42" spans="1:22" x14ac:dyDescent="0.3">
      <c r="A42" t="s">
        <v>82</v>
      </c>
      <c r="B42" s="1">
        <v>300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U42" t="s">
        <v>82</v>
      </c>
      <c r="V42" s="2">
        <f t="shared" si="1"/>
        <v>300</v>
      </c>
    </row>
    <row r="43" spans="1:22" x14ac:dyDescent="0.3">
      <c r="A43" t="s">
        <v>55</v>
      </c>
      <c r="B43" s="1">
        <v>20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>
        <v>1000</v>
      </c>
      <c r="S43" s="1"/>
      <c r="U43" t="s">
        <v>55</v>
      </c>
      <c r="V43" s="2">
        <f t="shared" si="1"/>
        <v>1020</v>
      </c>
    </row>
    <row r="44" spans="1:22" x14ac:dyDescent="0.3">
      <c r="A44" t="s">
        <v>56</v>
      </c>
      <c r="B44" s="1">
        <v>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>
        <v>100</v>
      </c>
      <c r="Q44" s="1"/>
      <c r="R44" s="1"/>
      <c r="S44" s="1"/>
      <c r="U44" t="s">
        <v>56</v>
      </c>
      <c r="V44" s="2">
        <f t="shared" si="1"/>
        <v>106</v>
      </c>
    </row>
    <row r="45" spans="1:22" x14ac:dyDescent="0.3">
      <c r="A45" t="s">
        <v>57</v>
      </c>
      <c r="B45" s="1">
        <v>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>
        <v>25</v>
      </c>
      <c r="O45" s="1"/>
      <c r="P45" s="1"/>
      <c r="Q45" s="1"/>
      <c r="R45" s="1"/>
      <c r="S45" s="1"/>
      <c r="U45" t="s">
        <v>57</v>
      </c>
      <c r="V45" s="2">
        <f t="shared" si="1"/>
        <v>30</v>
      </c>
    </row>
    <row r="46" spans="1:22" x14ac:dyDescent="0.3">
      <c r="A46" t="s">
        <v>83</v>
      </c>
      <c r="B46" s="1">
        <v>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U46" t="s">
        <v>83</v>
      </c>
      <c r="V46" s="2">
        <f t="shared" si="1"/>
        <v>2</v>
      </c>
    </row>
    <row r="47" spans="1:22" x14ac:dyDescent="0.3">
      <c r="A47" t="s">
        <v>84</v>
      </c>
      <c r="B47" s="1">
        <v>500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U47" t="s">
        <v>84</v>
      </c>
      <c r="V47" s="2">
        <f t="shared" si="1"/>
        <v>500</v>
      </c>
    </row>
    <row r="48" spans="1:22" x14ac:dyDescent="0.3">
      <c r="A48" t="s">
        <v>58</v>
      </c>
      <c r="B48" s="1"/>
      <c r="C48" s="1"/>
      <c r="D48" s="1"/>
      <c r="E48" s="1"/>
      <c r="F48" s="1"/>
      <c r="G48" s="1"/>
      <c r="H48" s="1"/>
      <c r="I48" s="1"/>
      <c r="J48" s="1"/>
      <c r="K48" s="1">
        <v>200</v>
      </c>
      <c r="L48" s="1"/>
      <c r="M48" s="1"/>
      <c r="N48" s="1"/>
      <c r="O48" s="1"/>
      <c r="P48" s="1"/>
      <c r="Q48" s="1"/>
      <c r="R48" s="1">
        <v>200</v>
      </c>
      <c r="S48" s="1"/>
      <c r="U48" t="s">
        <v>58</v>
      </c>
      <c r="V48" s="2">
        <f t="shared" si="1"/>
        <v>400</v>
      </c>
    </row>
    <row r="49" spans="1:22" x14ac:dyDescent="0.3">
      <c r="A49" t="s">
        <v>59</v>
      </c>
      <c r="B49" s="1"/>
      <c r="C49" s="1"/>
      <c r="D49" s="1"/>
      <c r="E49" s="1"/>
      <c r="F49" s="1"/>
      <c r="G49" s="1"/>
      <c r="H49" s="1"/>
      <c r="I49" s="1"/>
      <c r="J49" s="1">
        <v>300</v>
      </c>
      <c r="K49" s="1"/>
      <c r="L49" s="1"/>
      <c r="M49" s="1"/>
      <c r="N49" s="1"/>
      <c r="O49" s="1"/>
      <c r="P49" s="1"/>
      <c r="Q49" s="1"/>
      <c r="R49" s="1"/>
      <c r="S49" s="1"/>
      <c r="U49" t="s">
        <v>59</v>
      </c>
      <c r="V49" s="2">
        <f t="shared" si="1"/>
        <v>300</v>
      </c>
    </row>
    <row r="50" spans="1:22" x14ac:dyDescent="0.3">
      <c r="A50" t="s">
        <v>60</v>
      </c>
      <c r="B50" s="1">
        <v>600</v>
      </c>
      <c r="C50" s="1"/>
      <c r="D50" s="1"/>
      <c r="E50" s="1"/>
      <c r="F50" s="1"/>
      <c r="G50" s="1"/>
      <c r="H50" s="1">
        <v>200</v>
      </c>
      <c r="I50" s="1"/>
      <c r="J50" s="1"/>
      <c r="K50" s="1"/>
      <c r="L50" s="1"/>
      <c r="M50" s="1"/>
      <c r="N50" s="1"/>
      <c r="O50" s="1"/>
      <c r="P50" s="1"/>
      <c r="Q50" s="1"/>
      <c r="R50" s="1">
        <v>0.6</v>
      </c>
      <c r="S50" s="1"/>
      <c r="U50" t="s">
        <v>60</v>
      </c>
      <c r="V50" s="2">
        <f t="shared" si="1"/>
        <v>800.6</v>
      </c>
    </row>
    <row r="51" spans="1:22" x14ac:dyDescent="0.3">
      <c r="A51" t="s">
        <v>81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U51" t="s">
        <v>81</v>
      </c>
      <c r="V51" s="2">
        <f t="shared" si="1"/>
        <v>0</v>
      </c>
    </row>
    <row r="52" spans="1:22" x14ac:dyDescent="0.3">
      <c r="A52" t="s">
        <v>80</v>
      </c>
      <c r="B52" s="1"/>
      <c r="C52" s="1">
        <v>1000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U52" t="s">
        <v>80</v>
      </c>
      <c r="V52" s="2">
        <f t="shared" si="1"/>
        <v>1000</v>
      </c>
    </row>
    <row r="53" spans="1:22" x14ac:dyDescent="0.3">
      <c r="A53" t="s">
        <v>79</v>
      </c>
      <c r="B53" s="1"/>
      <c r="C53" s="1">
        <v>620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U53" t="s">
        <v>79</v>
      </c>
      <c r="V53" s="2">
        <f t="shared" si="1"/>
        <v>620</v>
      </c>
    </row>
    <row r="54" spans="1:22" x14ac:dyDescent="0.3">
      <c r="A54" t="s">
        <v>78</v>
      </c>
      <c r="B54" s="1"/>
      <c r="C54" s="1">
        <v>360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U54" t="s">
        <v>78</v>
      </c>
      <c r="V54" s="2">
        <f t="shared" si="1"/>
        <v>360</v>
      </c>
    </row>
    <row r="55" spans="1:22" x14ac:dyDescent="0.3">
      <c r="A55" t="s">
        <v>77</v>
      </c>
      <c r="B55" s="1"/>
      <c r="C55" s="1">
        <v>240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U55" t="s">
        <v>77</v>
      </c>
      <c r="V55" s="2">
        <f t="shared" si="1"/>
        <v>240</v>
      </c>
    </row>
    <row r="56" spans="1:22" x14ac:dyDescent="0.3">
      <c r="A56" t="s">
        <v>76</v>
      </c>
      <c r="B56" s="1"/>
      <c r="C56" s="1"/>
      <c r="D56" s="1"/>
      <c r="E56" s="1"/>
      <c r="F56" s="1">
        <v>250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U56" t="s">
        <v>76</v>
      </c>
      <c r="V56" s="2">
        <f t="shared" si="1"/>
        <v>250</v>
      </c>
    </row>
    <row r="57" spans="1:22" x14ac:dyDescent="0.3">
      <c r="A57" t="s">
        <v>75</v>
      </c>
      <c r="B57" s="1"/>
      <c r="C57" s="1"/>
      <c r="D57" s="1"/>
      <c r="E57" s="1">
        <v>300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U57" t="s">
        <v>75</v>
      </c>
      <c r="V57" s="2">
        <f t="shared" si="1"/>
        <v>300</v>
      </c>
    </row>
    <row r="58" spans="1:22" x14ac:dyDescent="0.3">
      <c r="A58" t="s">
        <v>74</v>
      </c>
      <c r="B58" s="1"/>
      <c r="C58" s="1"/>
      <c r="D58" s="1"/>
      <c r="E58" s="1"/>
      <c r="F58" s="1"/>
      <c r="G58" s="1">
        <v>300</v>
      </c>
      <c r="H58" s="1"/>
      <c r="I58" s="1"/>
      <c r="J58" s="1"/>
      <c r="K58" s="1"/>
      <c r="L58" s="1"/>
      <c r="M58" s="1"/>
      <c r="N58" s="1">
        <v>200</v>
      </c>
      <c r="O58" s="1"/>
      <c r="P58" s="1"/>
      <c r="Q58" s="1"/>
      <c r="R58" s="1"/>
      <c r="S58" s="1"/>
      <c r="U58" t="s">
        <v>74</v>
      </c>
      <c r="V58" s="2">
        <f t="shared" si="1"/>
        <v>500</v>
      </c>
    </row>
    <row r="59" spans="1:22" x14ac:dyDescent="0.3">
      <c r="A59" t="s">
        <v>73</v>
      </c>
      <c r="B59" s="1"/>
      <c r="C59" s="1"/>
      <c r="D59" s="1"/>
      <c r="E59" s="1"/>
      <c r="F59" s="1"/>
      <c r="G59" s="1">
        <v>250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U59" t="s">
        <v>73</v>
      </c>
      <c r="V59" s="2">
        <f t="shared" si="1"/>
        <v>250</v>
      </c>
    </row>
    <row r="60" spans="1:22" x14ac:dyDescent="0.3">
      <c r="A60" t="s">
        <v>72</v>
      </c>
      <c r="B60" s="1"/>
      <c r="C60" s="1"/>
      <c r="D60" s="1"/>
      <c r="E60" s="1"/>
      <c r="F60" s="1"/>
      <c r="G60" s="1">
        <v>200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U60" t="s">
        <v>72</v>
      </c>
      <c r="V60" s="2">
        <f t="shared" si="1"/>
        <v>200</v>
      </c>
    </row>
    <row r="61" spans="1:22" x14ac:dyDescent="0.3">
      <c r="A61" t="s">
        <v>71</v>
      </c>
      <c r="B61" s="1"/>
      <c r="C61" s="1"/>
      <c r="D61" s="1"/>
      <c r="E61" s="1"/>
      <c r="F61" s="1"/>
      <c r="G61" s="1">
        <v>100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U61" t="s">
        <v>71</v>
      </c>
      <c r="V61" s="2">
        <f t="shared" si="1"/>
        <v>100</v>
      </c>
    </row>
    <row r="62" spans="1:22" x14ac:dyDescent="0.3">
      <c r="A62" t="s">
        <v>70</v>
      </c>
      <c r="B62" s="1"/>
      <c r="C62" s="1"/>
      <c r="D62" s="1"/>
      <c r="E62" s="1"/>
      <c r="F62" s="1"/>
      <c r="G62" s="1">
        <v>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U62" t="s">
        <v>70</v>
      </c>
      <c r="V62" s="2">
        <f t="shared" si="1"/>
        <v>5</v>
      </c>
    </row>
    <row r="63" spans="1:22" x14ac:dyDescent="0.3">
      <c r="A63" t="s">
        <v>69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>
        <v>25</v>
      </c>
      <c r="O63" s="1"/>
      <c r="P63" s="1"/>
      <c r="Q63" s="1"/>
      <c r="R63" s="1"/>
      <c r="S63" s="1"/>
      <c r="U63" t="s">
        <v>69</v>
      </c>
      <c r="V63" s="2">
        <f t="shared" si="1"/>
        <v>25</v>
      </c>
    </row>
    <row r="64" spans="1:22" x14ac:dyDescent="0.3">
      <c r="A64" t="s">
        <v>68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>
        <v>25</v>
      </c>
      <c r="O64" s="1"/>
      <c r="P64" s="1"/>
      <c r="Q64" s="1"/>
      <c r="R64" s="1"/>
      <c r="S64" s="1"/>
      <c r="U64" t="s">
        <v>68</v>
      </c>
      <c r="V64" s="2">
        <f t="shared" si="1"/>
        <v>25</v>
      </c>
    </row>
    <row r="65" spans="1:22" x14ac:dyDescent="0.3">
      <c r="A65" t="s">
        <v>67</v>
      </c>
      <c r="B65" s="1"/>
      <c r="C65" s="1"/>
      <c r="D65" s="1"/>
      <c r="E65" s="1"/>
      <c r="F65" s="1"/>
      <c r="G65" s="1"/>
      <c r="H65" s="1">
        <v>100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U65" t="s">
        <v>67</v>
      </c>
      <c r="V65" s="2">
        <f t="shared" si="1"/>
        <v>100</v>
      </c>
    </row>
    <row r="66" spans="1:22" x14ac:dyDescent="0.3">
      <c r="A66" t="s">
        <v>66</v>
      </c>
      <c r="B66" s="1"/>
      <c r="C66" s="1"/>
      <c r="D66" s="1"/>
      <c r="E66" s="1"/>
      <c r="F66" s="1"/>
      <c r="G66" s="1"/>
      <c r="H66" s="1">
        <v>50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U66" t="s">
        <v>66</v>
      </c>
      <c r="V66" s="2">
        <f t="shared" ref="V66:V75" si="2">SUM(B66:S66)</f>
        <v>50</v>
      </c>
    </row>
    <row r="67" spans="1:22" x14ac:dyDescent="0.3">
      <c r="A67" t="s">
        <v>65</v>
      </c>
      <c r="B67" s="1"/>
      <c r="C67" s="1"/>
      <c r="D67" s="1"/>
      <c r="E67" s="1"/>
      <c r="F67" s="1"/>
      <c r="G67" s="1"/>
      <c r="H67" s="1">
        <v>50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U67" t="s">
        <v>65</v>
      </c>
      <c r="V67" s="2">
        <f t="shared" si="2"/>
        <v>50</v>
      </c>
    </row>
    <row r="68" spans="1:22" x14ac:dyDescent="0.3">
      <c r="A68" t="s">
        <v>64</v>
      </c>
      <c r="B68" s="1"/>
      <c r="C68" s="1"/>
      <c r="D68" s="1"/>
      <c r="E68" s="1"/>
      <c r="F68" s="1"/>
      <c r="G68" s="1"/>
      <c r="H68" s="1"/>
      <c r="I68" s="1">
        <v>550</v>
      </c>
      <c r="J68" s="1"/>
      <c r="K68" s="1"/>
      <c r="L68" s="1"/>
      <c r="M68" s="1"/>
      <c r="N68" s="1"/>
      <c r="O68" s="1"/>
      <c r="P68" s="1"/>
      <c r="Q68" s="1"/>
      <c r="R68" s="1"/>
      <c r="S68" s="1"/>
      <c r="U68" t="s">
        <v>64</v>
      </c>
      <c r="V68" s="2">
        <f t="shared" si="2"/>
        <v>550</v>
      </c>
    </row>
    <row r="69" spans="1:22" x14ac:dyDescent="0.3">
      <c r="A69" t="s">
        <v>63</v>
      </c>
      <c r="B69" s="1"/>
      <c r="C69" s="1"/>
      <c r="D69" s="1"/>
      <c r="E69" s="1"/>
      <c r="F69" s="1"/>
      <c r="G69" s="1"/>
      <c r="H69" s="1"/>
      <c r="I69" s="1">
        <v>400</v>
      </c>
      <c r="J69" s="1"/>
      <c r="K69" s="1"/>
      <c r="L69" s="1"/>
      <c r="M69" s="1"/>
      <c r="N69" s="1"/>
      <c r="O69" s="1"/>
      <c r="P69" s="1"/>
      <c r="Q69" s="1"/>
      <c r="R69" s="1"/>
      <c r="S69" s="1"/>
      <c r="U69" t="s">
        <v>63</v>
      </c>
      <c r="V69" s="2">
        <f t="shared" si="2"/>
        <v>400</v>
      </c>
    </row>
    <row r="70" spans="1:22" x14ac:dyDescent="0.3">
      <c r="A70" t="s">
        <v>62</v>
      </c>
      <c r="B70" s="1"/>
      <c r="C70" s="1"/>
      <c r="D70" s="1"/>
      <c r="E70" s="1"/>
      <c r="F70" s="1"/>
      <c r="G70" s="1"/>
      <c r="H70" s="1"/>
      <c r="I70" s="1">
        <v>150</v>
      </c>
      <c r="J70" s="1"/>
      <c r="K70" s="1"/>
      <c r="L70" s="1"/>
      <c r="M70" s="1"/>
      <c r="N70" s="1"/>
      <c r="O70" s="1"/>
      <c r="P70" s="1"/>
      <c r="Q70" s="1"/>
      <c r="R70" s="1"/>
      <c r="S70" s="1"/>
      <c r="U70" t="s">
        <v>62</v>
      </c>
      <c r="V70" s="2">
        <f t="shared" si="2"/>
        <v>150</v>
      </c>
    </row>
    <row r="71" spans="1:22" x14ac:dyDescent="0.3">
      <c r="A71" t="s">
        <v>61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>
        <v>150</v>
      </c>
      <c r="S71" s="1"/>
      <c r="U71" t="s">
        <v>61</v>
      </c>
      <c r="V71" s="2">
        <f t="shared" si="2"/>
        <v>150</v>
      </c>
    </row>
    <row r="72" spans="1:22" x14ac:dyDescent="0.3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2">
        <f t="shared" si="2"/>
        <v>0</v>
      </c>
    </row>
    <row r="73" spans="1:22" x14ac:dyDescent="0.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2">
        <f t="shared" si="2"/>
        <v>0</v>
      </c>
    </row>
    <row r="74" spans="1:22" x14ac:dyDescent="0.3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2">
        <f t="shared" si="2"/>
        <v>0</v>
      </c>
    </row>
    <row r="75" spans="1:22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2">
        <f t="shared" si="2"/>
        <v>0</v>
      </c>
    </row>
    <row r="76" spans="1:22" x14ac:dyDescent="0.3">
      <c r="B76" s="2">
        <f t="shared" ref="B76:S76" si="3">COUNTA(B2:B75)</f>
        <v>28</v>
      </c>
      <c r="C76" s="2">
        <f t="shared" si="3"/>
        <v>4</v>
      </c>
      <c r="D76" s="2">
        <f t="shared" si="3"/>
        <v>1</v>
      </c>
      <c r="E76" s="2">
        <f t="shared" si="3"/>
        <v>1</v>
      </c>
      <c r="F76" s="2">
        <f t="shared" si="3"/>
        <v>1</v>
      </c>
      <c r="G76" s="2">
        <f t="shared" si="3"/>
        <v>7</v>
      </c>
      <c r="H76" s="2">
        <f t="shared" si="3"/>
        <v>20</v>
      </c>
      <c r="I76" s="2">
        <f t="shared" si="3"/>
        <v>7</v>
      </c>
      <c r="J76" s="2">
        <f t="shared" si="3"/>
        <v>1</v>
      </c>
      <c r="K76" s="2">
        <f t="shared" si="3"/>
        <v>1</v>
      </c>
      <c r="L76" s="2">
        <f t="shared" si="3"/>
        <v>10</v>
      </c>
      <c r="M76" s="2">
        <f t="shared" si="3"/>
        <v>0</v>
      </c>
      <c r="N76" s="2">
        <f t="shared" si="3"/>
        <v>5</v>
      </c>
      <c r="O76" s="2">
        <f t="shared" si="3"/>
        <v>1</v>
      </c>
      <c r="P76" s="2">
        <f t="shared" si="3"/>
        <v>1</v>
      </c>
      <c r="Q76" s="2">
        <f t="shared" si="3"/>
        <v>1</v>
      </c>
      <c r="R76" s="2">
        <f t="shared" si="3"/>
        <v>11</v>
      </c>
      <c r="S76" s="2">
        <f t="shared" si="3"/>
        <v>0</v>
      </c>
      <c r="T7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D0C5-1C0D-4049-B3DE-7E5C58455497}">
  <dimension ref="A1:O57"/>
  <sheetViews>
    <sheetView tabSelected="1" topLeftCell="A41" workbookViewId="0">
      <selection activeCell="O57" sqref="N2:O57"/>
    </sheetView>
  </sheetViews>
  <sheetFormatPr defaultRowHeight="14.4" x14ac:dyDescent="0.3"/>
  <cols>
    <col min="1" max="1" width="18.5546875" customWidth="1"/>
    <col min="13" max="13" width="8.88671875" style="1"/>
    <col min="14" max="14" width="21.44140625" customWidth="1"/>
  </cols>
  <sheetData>
    <row r="1" spans="1:15" x14ac:dyDescent="0.3">
      <c r="B1" t="s">
        <v>0</v>
      </c>
      <c r="C1" t="s">
        <v>1</v>
      </c>
      <c r="D1" t="s">
        <v>3</v>
      </c>
      <c r="E1" t="s">
        <v>4</v>
      </c>
      <c r="F1" t="s">
        <v>6</v>
      </c>
      <c r="G1" t="s">
        <v>16</v>
      </c>
      <c r="H1" t="s">
        <v>8</v>
      </c>
      <c r="I1" t="s">
        <v>10</v>
      </c>
      <c r="J1" t="s">
        <v>15</v>
      </c>
      <c r="K1" t="s">
        <v>11</v>
      </c>
      <c r="L1" t="s">
        <v>43</v>
      </c>
      <c r="M1" s="1" t="s">
        <v>87</v>
      </c>
      <c r="O1" t="s">
        <v>12</v>
      </c>
    </row>
    <row r="2" spans="1:15" x14ac:dyDescent="0.3">
      <c r="A2" t="s">
        <v>18</v>
      </c>
      <c r="B2" s="1">
        <v>500</v>
      </c>
      <c r="C2" s="1"/>
      <c r="D2" s="1"/>
      <c r="E2" s="1"/>
      <c r="F2" s="1">
        <v>800</v>
      </c>
      <c r="G2" s="1"/>
      <c r="H2" s="1"/>
      <c r="I2" s="1"/>
      <c r="J2" s="1"/>
      <c r="K2" s="1"/>
      <c r="L2" s="1"/>
      <c r="N2" t="s">
        <v>18</v>
      </c>
      <c r="O2" s="2">
        <f>SUM(B2:M2)</f>
        <v>1300</v>
      </c>
    </row>
    <row r="3" spans="1:15" x14ac:dyDescent="0.3">
      <c r="A3" t="s">
        <v>19</v>
      </c>
      <c r="B3" s="1">
        <v>3</v>
      </c>
      <c r="C3" s="1"/>
      <c r="D3" s="1"/>
      <c r="E3" s="1"/>
      <c r="F3" s="1">
        <v>1.1000000000000001</v>
      </c>
      <c r="G3" s="1"/>
      <c r="H3" s="1"/>
      <c r="I3" s="1"/>
      <c r="J3" s="1"/>
      <c r="K3" s="1"/>
      <c r="L3" s="1"/>
      <c r="N3" t="s">
        <v>19</v>
      </c>
      <c r="O3" s="2">
        <f t="shared" ref="O3:O57" si="0">SUM(B3:M3)</f>
        <v>4.0999999999999996</v>
      </c>
    </row>
    <row r="4" spans="1:15" x14ac:dyDescent="0.3">
      <c r="A4" t="s">
        <v>21</v>
      </c>
      <c r="B4" s="1">
        <v>1.5</v>
      </c>
      <c r="C4" s="1"/>
      <c r="D4" s="1"/>
      <c r="E4" s="1"/>
      <c r="F4" s="1">
        <v>1.4</v>
      </c>
      <c r="G4" s="1"/>
      <c r="H4" s="1"/>
      <c r="I4" s="1"/>
      <c r="J4" s="1"/>
      <c r="K4" s="1"/>
      <c r="L4" s="1"/>
      <c r="N4" t="s">
        <v>21</v>
      </c>
      <c r="O4" s="2">
        <f t="shared" si="0"/>
        <v>2.9</v>
      </c>
    </row>
    <row r="5" spans="1:15" x14ac:dyDescent="0.3">
      <c r="A5" t="s">
        <v>22</v>
      </c>
      <c r="B5" s="1">
        <v>10</v>
      </c>
      <c r="C5" s="1"/>
      <c r="D5" s="1"/>
      <c r="E5" s="1"/>
      <c r="F5" s="1">
        <v>16</v>
      </c>
      <c r="G5" s="1"/>
      <c r="H5" s="1"/>
      <c r="I5" s="1"/>
      <c r="J5" s="1"/>
      <c r="K5" s="1"/>
      <c r="L5" s="1"/>
      <c r="N5" t="s">
        <v>22</v>
      </c>
      <c r="O5" s="2">
        <f t="shared" si="0"/>
        <v>26</v>
      </c>
    </row>
    <row r="6" spans="1:15" x14ac:dyDescent="0.3">
      <c r="A6" t="s">
        <v>23</v>
      </c>
      <c r="B6" s="1">
        <v>5</v>
      </c>
      <c r="C6" s="1"/>
      <c r="D6" s="1"/>
      <c r="E6" s="1"/>
      <c r="F6" s="1">
        <v>6</v>
      </c>
      <c r="G6" s="1"/>
      <c r="H6" s="1"/>
      <c r="I6" s="1"/>
      <c r="J6" s="1"/>
      <c r="K6" s="1"/>
      <c r="L6" s="1"/>
      <c r="N6" t="s">
        <v>23</v>
      </c>
      <c r="O6" s="2">
        <f t="shared" si="0"/>
        <v>11</v>
      </c>
    </row>
    <row r="7" spans="1:15" x14ac:dyDescent="0.3">
      <c r="A7" t="s">
        <v>24</v>
      </c>
      <c r="B7" s="1">
        <v>2</v>
      </c>
      <c r="C7" s="1"/>
      <c r="D7" s="1"/>
      <c r="E7" s="1"/>
      <c r="F7" s="1">
        <v>2</v>
      </c>
      <c r="G7" s="1"/>
      <c r="H7" s="1"/>
      <c r="I7" s="1"/>
      <c r="J7" s="1"/>
      <c r="K7" s="1"/>
      <c r="L7" s="1"/>
      <c r="N7" t="s">
        <v>24</v>
      </c>
      <c r="O7" s="2">
        <f t="shared" si="0"/>
        <v>4</v>
      </c>
    </row>
    <row r="8" spans="1:15" x14ac:dyDescent="0.3">
      <c r="A8" t="s">
        <v>20</v>
      </c>
      <c r="B8" s="1">
        <v>2.5</v>
      </c>
      <c r="C8" s="1"/>
      <c r="D8" s="1"/>
      <c r="E8" s="1"/>
      <c r="F8" s="1">
        <v>2.5</v>
      </c>
      <c r="G8" s="1"/>
      <c r="H8" s="1"/>
      <c r="I8" s="1"/>
      <c r="J8" s="1"/>
      <c r="K8" s="1"/>
      <c r="L8" s="1"/>
      <c r="N8" t="s">
        <v>20</v>
      </c>
      <c r="O8" s="2">
        <f t="shared" si="0"/>
        <v>5</v>
      </c>
    </row>
    <row r="9" spans="1:15" x14ac:dyDescent="0.3">
      <c r="A9" t="s">
        <v>26</v>
      </c>
      <c r="B9" s="1">
        <v>40</v>
      </c>
      <c r="C9" s="1"/>
      <c r="D9" s="1"/>
      <c r="E9" s="1"/>
      <c r="F9" s="1">
        <v>80</v>
      </c>
      <c r="G9" s="1"/>
      <c r="H9" s="1"/>
      <c r="I9" s="1"/>
      <c r="J9" s="1"/>
      <c r="K9" s="1"/>
      <c r="L9" s="1">
        <v>100</v>
      </c>
      <c r="N9" t="s">
        <v>26</v>
      </c>
      <c r="O9" s="2">
        <f t="shared" si="0"/>
        <v>220</v>
      </c>
    </row>
    <row r="10" spans="1:15" x14ac:dyDescent="0.3">
      <c r="A10" t="s">
        <v>27</v>
      </c>
      <c r="B10" s="1">
        <v>12.5</v>
      </c>
      <c r="C10" s="1"/>
      <c r="D10" s="1"/>
      <c r="E10" s="1"/>
      <c r="F10" s="1">
        <v>5</v>
      </c>
      <c r="G10" s="1"/>
      <c r="H10" s="1"/>
      <c r="I10" s="1"/>
      <c r="J10" s="1"/>
      <c r="K10" s="1"/>
      <c r="L10" s="1"/>
      <c r="N10" t="s">
        <v>27</v>
      </c>
      <c r="O10" s="2">
        <f t="shared" si="0"/>
        <v>17.5</v>
      </c>
    </row>
    <row r="11" spans="1:15" x14ac:dyDescent="0.3">
      <c r="A11" t="s">
        <v>28</v>
      </c>
      <c r="B11" s="1">
        <v>10</v>
      </c>
      <c r="C11" s="1"/>
      <c r="D11" s="1"/>
      <c r="E11" s="1"/>
      <c r="F11" s="1">
        <v>12</v>
      </c>
      <c r="G11" s="1"/>
      <c r="H11" s="1"/>
      <c r="I11" s="1"/>
      <c r="J11" s="1"/>
      <c r="K11" s="1"/>
      <c r="L11" s="1"/>
      <c r="N11" t="s">
        <v>28</v>
      </c>
      <c r="O11" s="2">
        <f t="shared" si="0"/>
        <v>22</v>
      </c>
    </row>
    <row r="12" spans="1:15" x14ac:dyDescent="0.3">
      <c r="A12" t="s">
        <v>29</v>
      </c>
      <c r="B12" s="1">
        <v>60</v>
      </c>
      <c r="C12" s="1"/>
      <c r="D12" s="1"/>
      <c r="E12" s="1"/>
      <c r="F12" s="1"/>
      <c r="G12" s="1"/>
      <c r="H12" s="1"/>
      <c r="I12" s="1"/>
      <c r="J12" s="1"/>
      <c r="K12" s="1"/>
      <c r="L12" s="1"/>
      <c r="N12" t="s">
        <v>29</v>
      </c>
      <c r="O12" s="2">
        <f t="shared" si="0"/>
        <v>60</v>
      </c>
    </row>
    <row r="13" spans="1:15" x14ac:dyDescent="0.3">
      <c r="A13" t="s">
        <v>30</v>
      </c>
      <c r="B13" s="1">
        <v>75</v>
      </c>
      <c r="C13" s="1"/>
      <c r="D13" s="1"/>
      <c r="E13" s="1"/>
      <c r="F13" s="1"/>
      <c r="G13" s="1"/>
      <c r="H13" s="1"/>
      <c r="I13" s="1">
        <v>51</v>
      </c>
      <c r="J13" s="1"/>
      <c r="K13" s="1"/>
      <c r="L13" s="1"/>
      <c r="N13" t="s">
        <v>30</v>
      </c>
      <c r="O13" s="2">
        <f t="shared" si="0"/>
        <v>126</v>
      </c>
    </row>
    <row r="14" spans="1:15" x14ac:dyDescent="0.3">
      <c r="A14" t="s">
        <v>32</v>
      </c>
      <c r="B14" s="1">
        <v>37.5</v>
      </c>
      <c r="C14" s="1"/>
      <c r="D14" s="1"/>
      <c r="E14" s="1"/>
      <c r="F14" s="1"/>
      <c r="G14" s="1"/>
      <c r="H14" s="1"/>
      <c r="I14" s="1">
        <v>25</v>
      </c>
      <c r="J14" s="1">
        <v>105</v>
      </c>
      <c r="K14" s="1"/>
      <c r="L14" s="1"/>
      <c r="N14" t="s">
        <v>32</v>
      </c>
      <c r="O14" s="2">
        <f t="shared" si="0"/>
        <v>167.5</v>
      </c>
    </row>
    <row r="15" spans="1:15" x14ac:dyDescent="0.3">
      <c r="A15" t="s">
        <v>33</v>
      </c>
      <c r="B15" s="1">
        <v>8</v>
      </c>
      <c r="C15" s="1"/>
      <c r="D15" s="1"/>
      <c r="E15" s="1"/>
      <c r="F15" s="1">
        <v>5</v>
      </c>
      <c r="G15" s="1"/>
      <c r="H15" s="1"/>
      <c r="I15" s="1">
        <v>1.4999999999999999E-4</v>
      </c>
      <c r="J15" s="1"/>
      <c r="K15" s="1"/>
      <c r="L15" s="1"/>
      <c r="N15" t="s">
        <v>33</v>
      </c>
      <c r="O15" s="2">
        <f t="shared" si="0"/>
        <v>13.00015</v>
      </c>
    </row>
    <row r="16" spans="1:15" x14ac:dyDescent="0.3">
      <c r="A16" t="s">
        <v>34</v>
      </c>
      <c r="B16" s="1">
        <v>5</v>
      </c>
      <c r="C16" s="1"/>
      <c r="D16" s="1"/>
      <c r="E16" s="1"/>
      <c r="F16" s="1">
        <v>5</v>
      </c>
      <c r="G16" s="1"/>
      <c r="H16" s="1"/>
      <c r="I16" s="1"/>
      <c r="J16" s="1"/>
      <c r="K16" s="1"/>
      <c r="L16" s="1">
        <v>5</v>
      </c>
      <c r="N16" t="s">
        <v>34</v>
      </c>
      <c r="O16" s="2">
        <f t="shared" si="0"/>
        <v>15</v>
      </c>
    </row>
    <row r="17" spans="1:15" x14ac:dyDescent="0.3">
      <c r="A17" t="s">
        <v>35</v>
      </c>
      <c r="B17" s="1"/>
      <c r="C17" s="1"/>
      <c r="D17" s="1"/>
      <c r="E17" s="1"/>
      <c r="F17" s="1">
        <v>1</v>
      </c>
      <c r="G17" s="1"/>
      <c r="H17" s="1"/>
      <c r="I17" s="1"/>
      <c r="J17" s="1"/>
      <c r="K17" s="1"/>
      <c r="L17" s="1"/>
      <c r="N17" t="s">
        <v>35</v>
      </c>
      <c r="O17" s="2">
        <f t="shared" si="0"/>
        <v>1</v>
      </c>
    </row>
    <row r="18" spans="1:15" x14ac:dyDescent="0.3">
      <c r="A18" t="s">
        <v>41</v>
      </c>
      <c r="B18" s="1">
        <v>100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N18" t="s">
        <v>41</v>
      </c>
      <c r="O18" s="2">
        <f t="shared" si="0"/>
        <v>100</v>
      </c>
    </row>
    <row r="19" spans="1:15" x14ac:dyDescent="0.3">
      <c r="A19" t="s">
        <v>42</v>
      </c>
      <c r="B19" s="1">
        <v>0.5</v>
      </c>
      <c r="C19" s="1"/>
      <c r="D19" s="1"/>
      <c r="E19" s="1"/>
      <c r="F19" s="1">
        <v>0.5</v>
      </c>
      <c r="G19" s="1"/>
      <c r="H19" s="1"/>
      <c r="I19" s="1"/>
      <c r="J19" s="1"/>
      <c r="K19" s="1"/>
      <c r="L19" s="1"/>
      <c r="N19" t="s">
        <v>42</v>
      </c>
      <c r="O19" s="2">
        <f t="shared" si="0"/>
        <v>1</v>
      </c>
    </row>
    <row r="20" spans="1:15" x14ac:dyDescent="0.3">
      <c r="A20" t="s">
        <v>44</v>
      </c>
      <c r="B20" s="1">
        <v>75</v>
      </c>
      <c r="C20" s="1"/>
      <c r="D20" s="1"/>
      <c r="E20" s="1"/>
      <c r="F20" s="1">
        <v>100</v>
      </c>
      <c r="G20" s="1"/>
      <c r="H20" s="1"/>
      <c r="I20" s="1"/>
      <c r="J20" s="1"/>
      <c r="K20" s="1"/>
      <c r="L20" s="1"/>
      <c r="N20" t="s">
        <v>44</v>
      </c>
      <c r="O20" s="2">
        <f t="shared" si="0"/>
        <v>175</v>
      </c>
    </row>
    <row r="21" spans="1:15" x14ac:dyDescent="0.3">
      <c r="A21" t="s">
        <v>45</v>
      </c>
      <c r="B21" s="1">
        <v>35</v>
      </c>
      <c r="C21" s="1"/>
      <c r="D21" s="1"/>
      <c r="E21" s="1"/>
      <c r="F21" s="1">
        <v>50</v>
      </c>
      <c r="G21" s="1"/>
      <c r="H21" s="1"/>
      <c r="I21" s="1"/>
      <c r="J21" s="1"/>
      <c r="K21" s="1"/>
      <c r="L21" s="1">
        <v>55</v>
      </c>
      <c r="N21" t="s">
        <v>45</v>
      </c>
      <c r="O21" s="2">
        <f t="shared" si="0"/>
        <v>140</v>
      </c>
    </row>
    <row r="22" spans="1:15" x14ac:dyDescent="0.3">
      <c r="A22" t="s">
        <v>46</v>
      </c>
      <c r="B22" s="1">
        <v>37.5</v>
      </c>
      <c r="C22" s="1"/>
      <c r="D22" s="1"/>
      <c r="E22" s="1"/>
      <c r="F22" s="1"/>
      <c r="G22" s="1"/>
      <c r="H22" s="1"/>
      <c r="I22" s="1"/>
      <c r="J22" s="1"/>
      <c r="K22" s="1"/>
      <c r="L22" s="1"/>
      <c r="N22" t="s">
        <v>46</v>
      </c>
      <c r="O22" s="2">
        <f t="shared" si="0"/>
        <v>37.5</v>
      </c>
    </row>
    <row r="23" spans="1:15" x14ac:dyDescent="0.3">
      <c r="A23" t="s">
        <v>47</v>
      </c>
      <c r="B23" s="1"/>
      <c r="C23" s="1"/>
      <c r="D23" s="1"/>
      <c r="E23" s="1"/>
      <c r="F23" s="1"/>
      <c r="G23" s="1"/>
      <c r="H23" s="1"/>
      <c r="I23" s="1">
        <v>28</v>
      </c>
      <c r="J23" s="1"/>
      <c r="K23" s="1"/>
      <c r="L23" s="1"/>
      <c r="N23" t="s">
        <v>47</v>
      </c>
      <c r="O23" s="2">
        <f t="shared" si="0"/>
        <v>28</v>
      </c>
    </row>
    <row r="24" spans="1:15" x14ac:dyDescent="0.3">
      <c r="A24" t="s">
        <v>48</v>
      </c>
      <c r="B24" s="1"/>
      <c r="C24" s="1"/>
      <c r="D24" s="1"/>
      <c r="E24" s="1"/>
      <c r="F24" s="1"/>
      <c r="G24" s="1"/>
      <c r="H24" s="1"/>
      <c r="I24" s="1">
        <v>5.0999999999999996</v>
      </c>
      <c r="J24" s="1"/>
      <c r="K24" s="1"/>
      <c r="L24" s="1"/>
      <c r="N24" t="s">
        <v>48</v>
      </c>
      <c r="O24" s="2">
        <f t="shared" si="0"/>
        <v>5.0999999999999996</v>
      </c>
    </row>
    <row r="25" spans="1:15" x14ac:dyDescent="0.3">
      <c r="A25" t="s">
        <v>49</v>
      </c>
      <c r="B25" s="1"/>
      <c r="C25" s="1"/>
      <c r="D25" s="1"/>
      <c r="E25" s="1"/>
      <c r="F25" s="1"/>
      <c r="G25" s="1"/>
      <c r="H25" s="1"/>
      <c r="I25" s="1">
        <v>286</v>
      </c>
      <c r="J25" s="1"/>
      <c r="K25" s="1"/>
      <c r="L25" s="1"/>
      <c r="N25" t="s">
        <v>49</v>
      </c>
      <c r="O25" s="2">
        <f t="shared" si="0"/>
        <v>286</v>
      </c>
    </row>
    <row r="26" spans="1:15" x14ac:dyDescent="0.3">
      <c r="A26" t="s">
        <v>50</v>
      </c>
      <c r="B26" s="1"/>
      <c r="C26" s="1"/>
      <c r="D26" s="1"/>
      <c r="E26" s="1"/>
      <c r="F26" s="1"/>
      <c r="G26" s="1"/>
      <c r="H26" s="1"/>
      <c r="I26" s="1">
        <v>35.200000000000003</v>
      </c>
      <c r="J26" s="1"/>
      <c r="K26" s="1"/>
      <c r="L26" s="1"/>
      <c r="N26" t="s">
        <v>50</v>
      </c>
      <c r="O26" s="2">
        <f t="shared" si="0"/>
        <v>35.200000000000003</v>
      </c>
    </row>
    <row r="27" spans="1:15" x14ac:dyDescent="0.3">
      <c r="A27" t="s">
        <v>51</v>
      </c>
      <c r="B27" s="1"/>
      <c r="C27" s="1"/>
      <c r="D27" s="1"/>
      <c r="E27" s="1"/>
      <c r="F27" s="1"/>
      <c r="G27" s="1"/>
      <c r="H27" s="1"/>
      <c r="I27" s="1">
        <v>0.125</v>
      </c>
      <c r="J27" s="1"/>
      <c r="K27" s="1"/>
      <c r="L27" s="1"/>
      <c r="N27" t="s">
        <v>51</v>
      </c>
      <c r="O27" s="2">
        <f t="shared" si="0"/>
        <v>0.125</v>
      </c>
    </row>
    <row r="28" spans="1:15" x14ac:dyDescent="0.3">
      <c r="A28" t="s">
        <v>52</v>
      </c>
      <c r="B28" s="1"/>
      <c r="C28" s="1"/>
      <c r="D28" s="1"/>
      <c r="E28" s="1"/>
      <c r="F28" s="1"/>
      <c r="G28" s="1"/>
      <c r="H28" s="1"/>
      <c r="I28" s="1">
        <v>4.3</v>
      </c>
      <c r="J28" s="1"/>
      <c r="K28" s="1"/>
      <c r="L28" s="1"/>
      <c r="N28" t="s">
        <v>52</v>
      </c>
      <c r="O28" s="2">
        <f t="shared" si="0"/>
        <v>4.3</v>
      </c>
    </row>
    <row r="29" spans="1:15" x14ac:dyDescent="0.3">
      <c r="A29" t="s">
        <v>53</v>
      </c>
      <c r="B29" s="1"/>
      <c r="C29" s="1"/>
      <c r="D29" s="1"/>
      <c r="E29" s="1"/>
      <c r="F29" s="1"/>
      <c r="G29" s="1"/>
      <c r="H29" s="1"/>
      <c r="I29" s="1">
        <v>9.5</v>
      </c>
      <c r="J29" s="1"/>
      <c r="K29" s="1"/>
      <c r="L29" s="1"/>
      <c r="N29" t="s">
        <v>53</v>
      </c>
      <c r="O29" s="2">
        <f t="shared" si="0"/>
        <v>9.5</v>
      </c>
    </row>
    <row r="30" spans="1:15" x14ac:dyDescent="0.3">
      <c r="A30" t="s">
        <v>86</v>
      </c>
      <c r="B30" s="1">
        <v>5</v>
      </c>
      <c r="C30" s="1"/>
      <c r="D30" s="1"/>
      <c r="E30" s="1"/>
      <c r="F30" s="1"/>
      <c r="G30" s="1"/>
      <c r="H30" s="1"/>
      <c r="I30" s="1"/>
      <c r="J30" s="1"/>
      <c r="K30" s="1"/>
      <c r="L30" s="1"/>
      <c r="N30" t="s">
        <v>86</v>
      </c>
      <c r="O30" s="2">
        <f t="shared" si="0"/>
        <v>5</v>
      </c>
    </row>
    <row r="31" spans="1:15" x14ac:dyDescent="0.3">
      <c r="A31" t="s">
        <v>85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N31" t="s">
        <v>85</v>
      </c>
      <c r="O31" s="2">
        <f>SUM(B31:M31)+300</f>
        <v>300</v>
      </c>
    </row>
    <row r="32" spans="1:15" x14ac:dyDescent="0.3">
      <c r="A32" t="s">
        <v>82</v>
      </c>
      <c r="B32" s="1">
        <v>150</v>
      </c>
      <c r="C32" s="1"/>
      <c r="D32" s="1"/>
      <c r="E32" s="1"/>
      <c r="F32" s="1"/>
      <c r="G32" s="1"/>
      <c r="H32" s="1"/>
      <c r="I32" s="1"/>
      <c r="J32" s="1"/>
      <c r="K32" s="1"/>
      <c r="L32" s="1">
        <v>500</v>
      </c>
      <c r="N32" t="s">
        <v>82</v>
      </c>
      <c r="O32" s="2">
        <f t="shared" si="0"/>
        <v>650</v>
      </c>
    </row>
    <row r="33" spans="1:15" x14ac:dyDescent="0.3">
      <c r="A33" t="s">
        <v>55</v>
      </c>
      <c r="B33" s="1">
        <v>10</v>
      </c>
      <c r="C33" s="1"/>
      <c r="D33" s="1"/>
      <c r="E33" s="1"/>
      <c r="F33" s="1"/>
      <c r="G33" s="1"/>
      <c r="H33" s="1"/>
      <c r="I33" s="1"/>
      <c r="J33" s="1"/>
      <c r="K33" s="1"/>
      <c r="L33" s="1"/>
      <c r="N33" t="s">
        <v>55</v>
      </c>
      <c r="O33" s="2">
        <f t="shared" si="0"/>
        <v>10</v>
      </c>
    </row>
    <row r="34" spans="1:15" x14ac:dyDescent="0.3">
      <c r="A34" t="s">
        <v>56</v>
      </c>
      <c r="B34" s="1">
        <v>3</v>
      </c>
      <c r="C34" s="1"/>
      <c r="D34" s="1"/>
      <c r="E34" s="1"/>
      <c r="F34" s="1"/>
      <c r="G34" s="1"/>
      <c r="H34" s="1"/>
      <c r="I34" s="1"/>
      <c r="J34" s="1"/>
      <c r="K34" s="1">
        <v>100</v>
      </c>
      <c r="L34" s="1"/>
      <c r="N34" t="s">
        <v>56</v>
      </c>
      <c r="O34" s="2">
        <f t="shared" si="0"/>
        <v>103</v>
      </c>
    </row>
    <row r="35" spans="1:15" x14ac:dyDescent="0.3">
      <c r="A35" t="s">
        <v>57</v>
      </c>
      <c r="B35" s="1">
        <v>2.5</v>
      </c>
      <c r="C35" s="1"/>
      <c r="D35" s="1"/>
      <c r="E35" s="1"/>
      <c r="F35" s="1"/>
      <c r="G35" s="1"/>
      <c r="H35" s="1"/>
      <c r="I35" s="1"/>
      <c r="J35" s="1"/>
      <c r="K35" s="1"/>
      <c r="L35" s="1"/>
      <c r="N35" t="s">
        <v>57</v>
      </c>
      <c r="O35" s="2">
        <f t="shared" si="0"/>
        <v>2.5</v>
      </c>
    </row>
    <row r="36" spans="1:15" x14ac:dyDescent="0.3">
      <c r="A36" t="s">
        <v>83</v>
      </c>
      <c r="B36" s="1">
        <v>1</v>
      </c>
      <c r="C36" s="1"/>
      <c r="D36" s="1"/>
      <c r="E36" s="1"/>
      <c r="F36" s="1"/>
      <c r="G36" s="1"/>
      <c r="H36" s="1"/>
      <c r="I36" s="1"/>
      <c r="J36" s="1"/>
      <c r="K36" s="1"/>
      <c r="L36" s="1"/>
      <c r="N36" t="s">
        <v>83</v>
      </c>
      <c r="O36" s="2">
        <f t="shared" si="0"/>
        <v>1</v>
      </c>
    </row>
    <row r="37" spans="1:15" x14ac:dyDescent="0.3">
      <c r="A37" t="s">
        <v>84</v>
      </c>
      <c r="B37" s="1">
        <v>250</v>
      </c>
      <c r="C37" s="1"/>
      <c r="D37" s="1"/>
      <c r="E37" s="1"/>
      <c r="F37" s="1"/>
      <c r="G37" s="1"/>
      <c r="H37" s="1"/>
      <c r="I37" s="1"/>
      <c r="J37" s="1"/>
      <c r="K37" s="1"/>
      <c r="L37" s="1"/>
      <c r="N37" t="s">
        <v>84</v>
      </c>
      <c r="O37" s="2">
        <f t="shared" si="0"/>
        <v>250</v>
      </c>
    </row>
    <row r="38" spans="1:15" x14ac:dyDescent="0.3">
      <c r="A38" t="s">
        <v>58</v>
      </c>
      <c r="B38" s="1"/>
      <c r="C38" s="1"/>
      <c r="D38" s="1"/>
      <c r="E38" s="1"/>
      <c r="F38" s="1"/>
      <c r="G38" s="1"/>
      <c r="H38" s="1">
        <v>200</v>
      </c>
      <c r="I38" s="1"/>
      <c r="J38" s="1"/>
      <c r="K38" s="1"/>
      <c r="L38" s="1"/>
      <c r="N38" t="s">
        <v>58</v>
      </c>
      <c r="O38" s="2">
        <f t="shared" si="0"/>
        <v>200</v>
      </c>
    </row>
    <row r="39" spans="1:15" x14ac:dyDescent="0.3">
      <c r="A39" t="s">
        <v>59</v>
      </c>
      <c r="B39" s="1"/>
      <c r="C39" s="1"/>
      <c r="D39" s="1"/>
      <c r="E39" s="1"/>
      <c r="F39" s="1"/>
      <c r="G39" s="1">
        <v>300</v>
      </c>
      <c r="H39" s="1"/>
      <c r="I39" s="1"/>
      <c r="J39" s="1"/>
      <c r="K39" s="1"/>
      <c r="L39" s="1"/>
      <c r="N39" t="s">
        <v>59</v>
      </c>
      <c r="O39" s="2">
        <f t="shared" si="0"/>
        <v>300</v>
      </c>
    </row>
    <row r="40" spans="1:15" x14ac:dyDescent="0.3">
      <c r="A40" t="s">
        <v>60</v>
      </c>
      <c r="B40" s="1">
        <v>300</v>
      </c>
      <c r="C40" s="1"/>
      <c r="D40" s="1"/>
      <c r="E40" s="1"/>
      <c r="F40" s="1">
        <v>200</v>
      </c>
      <c r="G40" s="1"/>
      <c r="H40" s="1"/>
      <c r="I40" s="1"/>
      <c r="J40" s="1"/>
      <c r="K40" s="1"/>
      <c r="L40" s="1"/>
      <c r="N40" t="s">
        <v>60</v>
      </c>
      <c r="O40" s="2">
        <f t="shared" si="0"/>
        <v>500</v>
      </c>
    </row>
    <row r="41" spans="1:15" x14ac:dyDescent="0.3">
      <c r="A41" t="s">
        <v>81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>
        <v>100</v>
      </c>
      <c r="N41" t="s">
        <v>81</v>
      </c>
      <c r="O41" s="2">
        <f t="shared" si="0"/>
        <v>100</v>
      </c>
    </row>
    <row r="42" spans="1:15" x14ac:dyDescent="0.3">
      <c r="A42" t="s">
        <v>80</v>
      </c>
      <c r="B42" s="1"/>
      <c r="C42" s="1">
        <v>1000</v>
      </c>
      <c r="D42" s="1"/>
      <c r="E42" s="1"/>
      <c r="F42" s="1"/>
      <c r="G42" s="1"/>
      <c r="H42" s="1"/>
      <c r="I42" s="1"/>
      <c r="J42" s="1"/>
      <c r="K42" s="1"/>
      <c r="L42" s="1"/>
      <c r="N42" t="s">
        <v>80</v>
      </c>
      <c r="O42" s="2">
        <f t="shared" si="0"/>
        <v>1000</v>
      </c>
    </row>
    <row r="43" spans="1:15" x14ac:dyDescent="0.3">
      <c r="A43" t="s">
        <v>79</v>
      </c>
      <c r="B43" s="1"/>
      <c r="C43" s="1">
        <v>620</v>
      </c>
      <c r="D43" s="1"/>
      <c r="E43" s="1"/>
      <c r="F43" s="1"/>
      <c r="G43" s="1"/>
      <c r="H43" s="1"/>
      <c r="I43" s="1"/>
      <c r="J43" s="1"/>
      <c r="K43" s="1"/>
      <c r="L43" s="1"/>
      <c r="N43" t="s">
        <v>79</v>
      </c>
      <c r="O43" s="2">
        <f t="shared" si="0"/>
        <v>620</v>
      </c>
    </row>
    <row r="44" spans="1:15" x14ac:dyDescent="0.3">
      <c r="A44" t="s">
        <v>78</v>
      </c>
      <c r="B44" s="1"/>
      <c r="C44" s="1">
        <v>360</v>
      </c>
      <c r="D44" s="1"/>
      <c r="E44" s="1"/>
      <c r="F44" s="1"/>
      <c r="G44" s="1"/>
      <c r="H44" s="1"/>
      <c r="I44" s="1"/>
      <c r="J44" s="1"/>
      <c r="K44" s="1"/>
      <c r="L44" s="1"/>
      <c r="N44" t="s">
        <v>78</v>
      </c>
      <c r="O44" s="2">
        <f t="shared" si="0"/>
        <v>360</v>
      </c>
    </row>
    <row r="45" spans="1:15" x14ac:dyDescent="0.3">
      <c r="A45" t="s">
        <v>77</v>
      </c>
      <c r="B45" s="1"/>
      <c r="C45" s="1">
        <v>240</v>
      </c>
      <c r="D45" s="1"/>
      <c r="E45" s="1"/>
      <c r="F45" s="1"/>
      <c r="G45" s="1"/>
      <c r="H45" s="1"/>
      <c r="I45" s="1"/>
      <c r="J45" s="1"/>
      <c r="K45" s="1"/>
      <c r="L45" s="1"/>
      <c r="N45" t="s">
        <v>77</v>
      </c>
      <c r="O45" s="2">
        <f t="shared" si="0"/>
        <v>240</v>
      </c>
    </row>
    <row r="46" spans="1:15" x14ac:dyDescent="0.3">
      <c r="A46" t="s">
        <v>76</v>
      </c>
      <c r="B46" s="1"/>
      <c r="C46" s="1"/>
      <c r="D46" s="1"/>
      <c r="E46" s="1">
        <v>250</v>
      </c>
      <c r="F46" s="1"/>
      <c r="G46" s="1"/>
      <c r="H46" s="1"/>
      <c r="I46" s="1"/>
      <c r="J46" s="1"/>
      <c r="K46" s="1"/>
      <c r="L46" s="1"/>
      <c r="N46" t="s">
        <v>76</v>
      </c>
      <c r="O46" s="2">
        <f t="shared" si="0"/>
        <v>250</v>
      </c>
    </row>
    <row r="47" spans="1:15" x14ac:dyDescent="0.3">
      <c r="A47" t="s">
        <v>75</v>
      </c>
      <c r="B47" s="1"/>
      <c r="C47" s="1"/>
      <c r="D47" s="1">
        <v>300</v>
      </c>
      <c r="E47" s="1"/>
      <c r="F47" s="1"/>
      <c r="G47" s="1"/>
      <c r="H47" s="1"/>
      <c r="I47" s="1"/>
      <c r="J47" s="1"/>
      <c r="K47" s="1"/>
      <c r="L47" s="1"/>
      <c r="N47" t="s">
        <v>75</v>
      </c>
      <c r="O47" s="2">
        <f t="shared" si="0"/>
        <v>300</v>
      </c>
    </row>
    <row r="48" spans="1:15" x14ac:dyDescent="0.3">
      <c r="A48" t="s">
        <v>67</v>
      </c>
      <c r="B48" s="1"/>
      <c r="C48" s="1"/>
      <c r="D48" s="1"/>
      <c r="E48" s="1"/>
      <c r="F48" s="1">
        <v>100</v>
      </c>
      <c r="G48" s="1"/>
      <c r="H48" s="1"/>
      <c r="I48" s="1"/>
      <c r="J48" s="1"/>
      <c r="K48" s="1"/>
      <c r="L48" s="1"/>
      <c r="M48" s="1">
        <v>200</v>
      </c>
      <c r="N48" t="s">
        <v>67</v>
      </c>
      <c r="O48" s="2">
        <f t="shared" si="0"/>
        <v>300</v>
      </c>
    </row>
    <row r="49" spans="1:15" x14ac:dyDescent="0.3">
      <c r="A49" t="s">
        <v>66</v>
      </c>
      <c r="B49" s="1"/>
      <c r="C49" s="1"/>
      <c r="D49" s="1"/>
      <c r="E49" s="1"/>
      <c r="F49" s="1">
        <v>50</v>
      </c>
      <c r="G49" s="1"/>
      <c r="H49" s="1"/>
      <c r="I49" s="1"/>
      <c r="J49" s="1"/>
      <c r="K49" s="1"/>
      <c r="L49" s="1"/>
      <c r="N49" t="s">
        <v>66</v>
      </c>
      <c r="O49" s="2">
        <f t="shared" si="0"/>
        <v>50</v>
      </c>
    </row>
    <row r="50" spans="1:15" x14ac:dyDescent="0.3">
      <c r="A50" t="s">
        <v>65</v>
      </c>
      <c r="B50" s="1"/>
      <c r="C50" s="1"/>
      <c r="D50" s="1"/>
      <c r="E50" s="1"/>
      <c r="F50" s="1">
        <v>50</v>
      </c>
      <c r="G50" s="1"/>
      <c r="H50" s="1"/>
      <c r="I50" s="1"/>
      <c r="J50" s="1"/>
      <c r="K50" s="1"/>
      <c r="L50" s="1"/>
      <c r="N50" t="s">
        <v>65</v>
      </c>
      <c r="O50" s="2">
        <f t="shared" si="0"/>
        <v>50</v>
      </c>
    </row>
    <row r="51" spans="1:15" x14ac:dyDescent="0.3">
      <c r="A51" t="s">
        <v>92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">
        <v>50</v>
      </c>
      <c r="N51" t="s">
        <v>97</v>
      </c>
      <c r="O51" s="2">
        <f t="shared" si="0"/>
        <v>50</v>
      </c>
    </row>
    <row r="52" spans="1:15" x14ac:dyDescent="0.3">
      <c r="A52" t="s">
        <v>93</v>
      </c>
      <c r="M52" s="1">
        <v>200</v>
      </c>
      <c r="N52" t="s">
        <v>98</v>
      </c>
      <c r="O52" s="2">
        <f t="shared" si="0"/>
        <v>200</v>
      </c>
    </row>
    <row r="53" spans="1:15" x14ac:dyDescent="0.3">
      <c r="A53" t="s">
        <v>91</v>
      </c>
      <c r="M53" s="1">
        <v>150</v>
      </c>
      <c r="N53" t="s">
        <v>99</v>
      </c>
      <c r="O53" s="2">
        <f t="shared" si="0"/>
        <v>150</v>
      </c>
    </row>
    <row r="54" spans="1:15" x14ac:dyDescent="0.3">
      <c r="A54" t="s">
        <v>90</v>
      </c>
      <c r="M54" s="1">
        <v>50</v>
      </c>
      <c r="N54" t="s">
        <v>100</v>
      </c>
      <c r="O54" s="2">
        <f t="shared" si="0"/>
        <v>50</v>
      </c>
    </row>
    <row r="55" spans="1:15" x14ac:dyDescent="0.3">
      <c r="A55" t="s">
        <v>94</v>
      </c>
      <c r="M55" s="1">
        <v>50</v>
      </c>
      <c r="N55" t="s">
        <v>101</v>
      </c>
      <c r="O55" s="2">
        <f t="shared" si="0"/>
        <v>50</v>
      </c>
    </row>
    <row r="56" spans="1:15" x14ac:dyDescent="0.3">
      <c r="A56" t="s">
        <v>89</v>
      </c>
      <c r="L56">
        <v>1000</v>
      </c>
      <c r="N56" t="s">
        <v>95</v>
      </c>
      <c r="O56" s="2">
        <f t="shared" si="0"/>
        <v>1000</v>
      </c>
    </row>
    <row r="57" spans="1:15" x14ac:dyDescent="0.3">
      <c r="A57" t="s">
        <v>88</v>
      </c>
      <c r="M57" s="1">
        <v>40</v>
      </c>
      <c r="N57" t="s">
        <v>96</v>
      </c>
      <c r="O57" s="2">
        <f t="shared" si="0"/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ABGursu</dc:creator>
  <cp:lastModifiedBy>ABGursu</cp:lastModifiedBy>
  <dcterms:created xsi:type="dcterms:W3CDTF">2025-05-07T16:30:23Z</dcterms:created>
  <dcterms:modified xsi:type="dcterms:W3CDTF">2025-05-29T06:26:15Z</dcterms:modified>
</cp:coreProperties>
</file>